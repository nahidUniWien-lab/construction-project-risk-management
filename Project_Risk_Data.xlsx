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tklar\Desktop\STRABAG-Business-Analytics-Project\"/>
    </mc:Choice>
  </mc:AlternateContent>
  <xr:revisionPtr revIDLastSave="0" documentId="13_ncr:1_{1418CB5B-5A5B-42FD-9EB9-C44BB8619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13" i="1"/>
  <c r="J14" i="1"/>
  <c r="J15" i="1"/>
  <c r="J16" i="1"/>
  <c r="J17" i="1"/>
  <c r="J18" i="1"/>
  <c r="J19" i="1"/>
  <c r="J20" i="1"/>
  <c r="J21" i="1"/>
  <c r="J3" i="1"/>
  <c r="J4" i="1"/>
  <c r="J5" i="1"/>
  <c r="J6" i="1"/>
  <c r="J7" i="1"/>
  <c r="J8" i="1"/>
  <c r="J9" i="1"/>
  <c r="J10" i="1"/>
  <c r="J11" i="1"/>
  <c r="J12" i="1"/>
  <c r="J2" i="1"/>
</calcChain>
</file>

<file path=xl/sharedStrings.xml><?xml version="1.0" encoding="utf-8"?>
<sst xmlns="http://schemas.openxmlformats.org/spreadsheetml/2006/main" count="92" uniqueCount="60">
  <si>
    <t>Project_Name</t>
  </si>
  <si>
    <t>Location</t>
  </si>
  <si>
    <t>Budget</t>
  </si>
  <si>
    <t>Actual_Cost</t>
  </si>
  <si>
    <t>Planned_Days</t>
  </si>
  <si>
    <t>Actual_Days</t>
  </si>
  <si>
    <t>Open_Risks</t>
  </si>
  <si>
    <t>Risk_Level</t>
  </si>
  <si>
    <t>P001</t>
  </si>
  <si>
    <t>Vienna Office Tower</t>
  </si>
  <si>
    <t>Vienna</t>
  </si>
  <si>
    <t>High</t>
  </si>
  <si>
    <t>P002</t>
  </si>
  <si>
    <t>Graz Housing Complex</t>
  </si>
  <si>
    <t>Graz</t>
  </si>
  <si>
    <t>Low</t>
  </si>
  <si>
    <t>P003</t>
  </si>
  <si>
    <t>Linz Bridge Project</t>
  </si>
  <si>
    <t>Linz</t>
  </si>
  <si>
    <t>P004</t>
  </si>
  <si>
    <t>Salzburg Renovation</t>
  </si>
  <si>
    <t>Salzburg</t>
  </si>
  <si>
    <t>Medium</t>
  </si>
  <si>
    <t>P005</t>
  </si>
  <si>
    <t>Innsbruck Office</t>
  </si>
  <si>
    <t>Innsbruck</t>
  </si>
  <si>
    <t>P006</t>
  </si>
  <si>
    <t>Vienna Metro Extension</t>
  </si>
  <si>
    <t>P007</t>
  </si>
  <si>
    <t>Graz School Building</t>
  </si>
  <si>
    <t>P008</t>
  </si>
  <si>
    <t>Linz Industrial Hall</t>
  </si>
  <si>
    <t>P009</t>
  </si>
  <si>
    <t>Salzburg Hotel</t>
  </si>
  <si>
    <t>P010</t>
  </si>
  <si>
    <t>Vienna Residential Block</t>
  </si>
  <si>
    <t>P011</t>
  </si>
  <si>
    <t>Innsbruck Warehouse</t>
  </si>
  <si>
    <t>P012</t>
  </si>
  <si>
    <t>Graz Shopping Centre</t>
  </si>
  <si>
    <t>P013</t>
  </si>
  <si>
    <t>Vienna Hospital Wing</t>
  </si>
  <si>
    <t>P014</t>
  </si>
  <si>
    <t>Linz Apartment Complex</t>
  </si>
  <si>
    <t>P015</t>
  </si>
  <si>
    <t>Salzburg Office Park</t>
  </si>
  <si>
    <t>P016</t>
  </si>
  <si>
    <t>Vienna Logistics Centre</t>
  </si>
  <si>
    <t>P017</t>
  </si>
  <si>
    <t>Graz Sports Centre</t>
  </si>
  <si>
    <t>P018</t>
  </si>
  <si>
    <t>Innsbruck Student Housing</t>
  </si>
  <si>
    <t>P019</t>
  </si>
  <si>
    <t>Linz Research Centre</t>
  </si>
  <si>
    <t>P020</t>
  </si>
  <si>
    <t>Vienna Retail Complex</t>
  </si>
  <si>
    <t>Cost_Variance</t>
  </si>
  <si>
    <t>Cost_Variance_%</t>
  </si>
  <si>
    <t>Delay Days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</si>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</sst>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_);[Red]\([$€-2]\ 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9" fontId="0" fillId="0" borderId="5" xfId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0" xfId="0" applyNumberFormat="1"/>
    <xf numFmtId="164" fontId="2" fillId="0" borderId="7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Per cent" xfId="1" builtinId="5"/>
  </cellStyles>
  <dxfs count="22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€-2]\ #,##0_);[Red]\([$€-2]\ 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€-2]\ #,##0_);[Red]\([$€-2]\ #,##0\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€-2]\ #,##0_);[Red]\([$€-2]\ #,##0\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534576-A04F-4C84-95C7-D2D848EBEC42}" name="ProjectData" displayName="ProjectData" ref="A1:L21" tableBorderDxfId="21">
  <autoFilter ref="A1:L21" xr:uid="{12534576-A04F-4C84-95C7-D2D848EBEC42}"/>
  <tableColumns count="12">
    <tableColumn id="1" xr3:uid="{12A7F04A-CBA5-4D45-BCC1-EFD19861542A}" name="Column" totalsRowLabel="Total" dataDxfId="20" totalsRowDxfId="19"/>
    <tableColumn id="2" xr3:uid="{9A5B3502-1C30-4E52-ACFC-C67904642382}" name="Project_Name" dataDxfId="18" totalsRowDxfId="17"/>
    <tableColumn id="3" xr3:uid="{A2CCD10B-877A-4DB0-BFA7-B469914FF6D6}" name="Location" dataDxfId="16" totalsRowDxfId="15"/>
    <tableColumn id="4" xr3:uid="{35A564D4-5D93-4EAB-95BF-DFABCD81E3C5}" name="Budget" dataDxfId="14"/>
    <tableColumn id="5" xr3:uid="{33F975C4-6CDF-44D8-8769-BDC42D091238}" name="Actual_Cost" dataDxfId="13"/>
    <tableColumn id="6" xr3:uid="{F56FF0A8-0028-4CF8-948F-BB6BD3C77DA8}" name="Planned_Days" dataDxfId="12" totalsRowDxfId="11"/>
    <tableColumn id="7" xr3:uid="{989BBFD2-DFD9-40F0-BC10-0E516C7A62A7}" name="Actual_Days" dataDxfId="10" totalsRowDxfId="9"/>
    <tableColumn id="8" xr3:uid="{66E42D60-4FB4-49C0-8682-87C7D6371948}" name="Open_Risks" dataDxfId="8" totalsRowDxfId="7"/>
    <tableColumn id="9" xr3:uid="{D26D9553-C286-4DB3-B42C-C842D968A90B}" name="Risk_Level" dataDxfId="6" totalsRowDxfId="5"/>
    <tableColumn id="10" xr3:uid="{FD1E480C-74DB-4DAA-87C8-5A77B60E4C69}" name="Cost_Variance" dataDxfId="4">
      <calculatedColumnFormula>E2-D2</calculatedColumnFormula>
    </tableColumn>
    <tableColumn id="11" xr3:uid="{47941BC6-31A1-449C-B91E-65A7A253B5A9}" name="Cost_Variance_%" dataDxfId="3" totalsRowDxfId="2" dataCellStyle="Per cent">
      <calculatedColumnFormula>(E2-D2)/D2</calculatedColumnFormula>
    </tableColumn>
    <tableColumn id="12" xr3:uid="{A802DE95-E58B-44CA-9FA2-AA3701350C03}" name="Delay Days" totalsRowFunction="sum" dataDxfId="1" totalsRowDxfId="0">
      <calculatedColumnFormula>G2-F2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B7" sqref="B7"/>
    </sheetView>
  </sheetViews>
  <sheetFormatPr defaultRowHeight="14.4" x14ac:dyDescent="0.3"/>
  <cols>
    <col min="1" max="1" width="14" customWidth="1"/>
    <col min="2" max="2" width="32.44140625" customWidth="1"/>
    <col min="3" max="3" width="21" customWidth="1"/>
    <col min="4" max="4" width="11.88671875" style="16" customWidth="1"/>
    <col min="5" max="5" width="14.44140625" style="16" customWidth="1"/>
    <col min="6" max="6" width="17.109375" customWidth="1"/>
    <col min="7" max="7" width="16.33203125" customWidth="1"/>
    <col min="8" max="8" width="14.44140625" customWidth="1"/>
    <col min="9" max="9" width="15.21875" customWidth="1"/>
    <col min="10" max="10" width="18.5546875" style="20" customWidth="1"/>
    <col min="11" max="11" width="17.33203125" style="7" customWidth="1"/>
    <col min="12" max="12" width="12.6640625" customWidth="1"/>
  </cols>
  <sheetData>
    <row r="1" spans="1:12" x14ac:dyDescent="0.3">
      <c r="A1" s="2" t="s">
        <v>59</v>
      </c>
      <c r="B1" s="1" t="s">
        <v>0</v>
      </c>
      <c r="C1" s="1" t="s">
        <v>1</v>
      </c>
      <c r="D1" s="13" t="s">
        <v>2</v>
      </c>
      <c r="E1" s="1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7" t="s">
        <v>56</v>
      </c>
      <c r="K1" s="1" t="s">
        <v>57</v>
      </c>
      <c r="L1" s="9" t="s">
        <v>58</v>
      </c>
    </row>
    <row r="2" spans="1:12" x14ac:dyDescent="0.3">
      <c r="A2" s="4" t="s">
        <v>8</v>
      </c>
      <c r="B2" s="3" t="s">
        <v>9</v>
      </c>
      <c r="C2" s="3" t="s">
        <v>10</v>
      </c>
      <c r="D2" s="14">
        <v>500000</v>
      </c>
      <c r="E2" s="14">
        <v>560000</v>
      </c>
      <c r="F2" s="3">
        <v>180</v>
      </c>
      <c r="G2" s="3">
        <v>205</v>
      </c>
      <c r="H2" s="3">
        <v>5</v>
      </c>
      <c r="I2" s="3" t="s">
        <v>11</v>
      </c>
      <c r="J2" s="18">
        <f>E2-D2</f>
        <v>60000</v>
      </c>
      <c r="K2" s="8">
        <f>(E2-D2)/D2</f>
        <v>0.12</v>
      </c>
      <c r="L2" s="10">
        <f>G2-F2</f>
        <v>25</v>
      </c>
    </row>
    <row r="3" spans="1:12" x14ac:dyDescent="0.3">
      <c r="A3" s="4" t="s">
        <v>12</v>
      </c>
      <c r="B3" s="3" t="s">
        <v>13</v>
      </c>
      <c r="C3" s="3" t="s">
        <v>14</v>
      </c>
      <c r="D3" s="14">
        <v>350000</v>
      </c>
      <c r="E3" s="14">
        <v>340000</v>
      </c>
      <c r="F3" s="3">
        <v>150</v>
      </c>
      <c r="G3" s="3">
        <v>148</v>
      </c>
      <c r="H3" s="3">
        <v>1</v>
      </c>
      <c r="I3" s="3" t="s">
        <v>15</v>
      </c>
      <c r="J3" s="18">
        <f t="shared" ref="J3:J21" si="0">E3-D3</f>
        <v>-10000</v>
      </c>
      <c r="K3" s="8">
        <f t="shared" ref="K3:K21" si="1">(E3-D3)/D3</f>
        <v>-2.8571428571428571E-2</v>
      </c>
      <c r="L3" s="10">
        <f t="shared" ref="L3:L21" si="2">G3-F3</f>
        <v>-2</v>
      </c>
    </row>
    <row r="4" spans="1:12" x14ac:dyDescent="0.3">
      <c r="A4" s="4" t="s">
        <v>16</v>
      </c>
      <c r="B4" s="3" t="s">
        <v>17</v>
      </c>
      <c r="C4" s="3" t="s">
        <v>18</v>
      </c>
      <c r="D4" s="14">
        <v>800000</v>
      </c>
      <c r="E4" s="14">
        <v>890000</v>
      </c>
      <c r="F4" s="3">
        <v>240</v>
      </c>
      <c r="G4" s="3">
        <v>275</v>
      </c>
      <c r="H4" s="3">
        <v>6</v>
      </c>
      <c r="I4" s="3" t="s">
        <v>11</v>
      </c>
      <c r="J4" s="18">
        <f t="shared" si="0"/>
        <v>90000</v>
      </c>
      <c r="K4" s="8">
        <f t="shared" si="1"/>
        <v>0.1125</v>
      </c>
      <c r="L4" s="10">
        <f t="shared" si="2"/>
        <v>35</v>
      </c>
    </row>
    <row r="5" spans="1:12" x14ac:dyDescent="0.3">
      <c r="A5" s="4" t="s">
        <v>19</v>
      </c>
      <c r="B5" s="3" t="s">
        <v>20</v>
      </c>
      <c r="C5" s="3" t="s">
        <v>21</v>
      </c>
      <c r="D5" s="14">
        <v>250000</v>
      </c>
      <c r="E5" s="14">
        <v>265000</v>
      </c>
      <c r="F5" s="3">
        <v>120</v>
      </c>
      <c r="G5" s="3">
        <v>130</v>
      </c>
      <c r="H5" s="3">
        <v>3</v>
      </c>
      <c r="I5" s="3" t="s">
        <v>22</v>
      </c>
      <c r="J5" s="18">
        <f t="shared" si="0"/>
        <v>15000</v>
      </c>
      <c r="K5" s="8">
        <f t="shared" si="1"/>
        <v>0.06</v>
      </c>
      <c r="L5" s="10">
        <f t="shared" si="2"/>
        <v>10</v>
      </c>
    </row>
    <row r="6" spans="1:12" x14ac:dyDescent="0.3">
      <c r="A6" s="4" t="s">
        <v>23</v>
      </c>
      <c r="B6" s="3" t="s">
        <v>24</v>
      </c>
      <c r="C6" s="3" t="s">
        <v>25</v>
      </c>
      <c r="D6" s="14">
        <v>420000</v>
      </c>
      <c r="E6" s="14">
        <v>415000</v>
      </c>
      <c r="F6" s="3">
        <v>160</v>
      </c>
      <c r="G6" s="3">
        <v>158</v>
      </c>
      <c r="H6" s="3">
        <v>1</v>
      </c>
      <c r="I6" s="3" t="s">
        <v>15</v>
      </c>
      <c r="J6" s="18">
        <f t="shared" si="0"/>
        <v>-5000</v>
      </c>
      <c r="K6" s="8">
        <f t="shared" si="1"/>
        <v>-1.1904761904761904E-2</v>
      </c>
      <c r="L6" s="10">
        <f t="shared" si="2"/>
        <v>-2</v>
      </c>
    </row>
    <row r="7" spans="1:12" x14ac:dyDescent="0.3">
      <c r="A7" s="4" t="s">
        <v>26</v>
      </c>
      <c r="B7" s="3" t="s">
        <v>27</v>
      </c>
      <c r="C7" s="3" t="s">
        <v>10</v>
      </c>
      <c r="D7" s="14">
        <v>950000</v>
      </c>
      <c r="E7" s="14">
        <v>1080000</v>
      </c>
      <c r="F7" s="3">
        <v>300</v>
      </c>
      <c r="G7" s="3">
        <v>340</v>
      </c>
      <c r="H7" s="3">
        <v>7</v>
      </c>
      <c r="I7" s="3" t="s">
        <v>11</v>
      </c>
      <c r="J7" s="18">
        <f t="shared" si="0"/>
        <v>130000</v>
      </c>
      <c r="K7" s="8">
        <f t="shared" si="1"/>
        <v>0.1368421052631579</v>
      </c>
      <c r="L7" s="10">
        <f t="shared" si="2"/>
        <v>40</v>
      </c>
    </row>
    <row r="8" spans="1:12" x14ac:dyDescent="0.3">
      <c r="A8" s="4" t="s">
        <v>28</v>
      </c>
      <c r="B8" s="3" t="s">
        <v>29</v>
      </c>
      <c r="C8" s="3" t="s">
        <v>14</v>
      </c>
      <c r="D8" s="14">
        <v>380000</v>
      </c>
      <c r="E8" s="14">
        <v>395000</v>
      </c>
      <c r="F8" s="3">
        <v>170</v>
      </c>
      <c r="G8" s="3">
        <v>178</v>
      </c>
      <c r="H8" s="3">
        <v>3</v>
      </c>
      <c r="I8" s="3" t="s">
        <v>22</v>
      </c>
      <c r="J8" s="18">
        <f t="shared" si="0"/>
        <v>15000</v>
      </c>
      <c r="K8" s="8">
        <f t="shared" si="1"/>
        <v>3.9473684210526314E-2</v>
      </c>
      <c r="L8" s="10">
        <f t="shared" si="2"/>
        <v>8</v>
      </c>
    </row>
    <row r="9" spans="1:12" x14ac:dyDescent="0.3">
      <c r="A9" s="4" t="s">
        <v>30</v>
      </c>
      <c r="B9" s="3" t="s">
        <v>31</v>
      </c>
      <c r="C9" s="3" t="s">
        <v>18</v>
      </c>
      <c r="D9" s="14">
        <v>600000</v>
      </c>
      <c r="E9" s="14">
        <v>590000</v>
      </c>
      <c r="F9" s="3">
        <v>210</v>
      </c>
      <c r="G9" s="3">
        <v>205</v>
      </c>
      <c r="H9" s="3">
        <v>2</v>
      </c>
      <c r="I9" s="3" t="s">
        <v>15</v>
      </c>
      <c r="J9" s="18">
        <f t="shared" si="0"/>
        <v>-10000</v>
      </c>
      <c r="K9" s="8">
        <f t="shared" si="1"/>
        <v>-1.6666666666666666E-2</v>
      </c>
      <c r="L9" s="10">
        <f t="shared" si="2"/>
        <v>-5</v>
      </c>
    </row>
    <row r="10" spans="1:12" x14ac:dyDescent="0.3">
      <c r="A10" s="4" t="s">
        <v>32</v>
      </c>
      <c r="B10" s="3" t="s">
        <v>33</v>
      </c>
      <c r="C10" s="3" t="s">
        <v>21</v>
      </c>
      <c r="D10" s="14">
        <v>720000</v>
      </c>
      <c r="E10" s="14">
        <v>780000</v>
      </c>
      <c r="F10" s="3">
        <v>220</v>
      </c>
      <c r="G10" s="3">
        <v>242</v>
      </c>
      <c r="H10" s="3">
        <v>5</v>
      </c>
      <c r="I10" s="3" t="s">
        <v>11</v>
      </c>
      <c r="J10" s="18">
        <f t="shared" si="0"/>
        <v>60000</v>
      </c>
      <c r="K10" s="8">
        <f t="shared" si="1"/>
        <v>8.3333333333333329E-2</v>
      </c>
      <c r="L10" s="10">
        <f t="shared" si="2"/>
        <v>22</v>
      </c>
    </row>
    <row r="11" spans="1:12" x14ac:dyDescent="0.3">
      <c r="A11" s="4" t="s">
        <v>34</v>
      </c>
      <c r="B11" s="3" t="s">
        <v>35</v>
      </c>
      <c r="C11" s="3" t="s">
        <v>10</v>
      </c>
      <c r="D11" s="14">
        <v>450000</v>
      </c>
      <c r="E11" s="14">
        <v>470000</v>
      </c>
      <c r="F11" s="3">
        <v>180</v>
      </c>
      <c r="G11" s="3">
        <v>190</v>
      </c>
      <c r="H11" s="3">
        <v>3</v>
      </c>
      <c r="I11" s="3" t="s">
        <v>22</v>
      </c>
      <c r="J11" s="18">
        <f t="shared" si="0"/>
        <v>20000</v>
      </c>
      <c r="K11" s="8">
        <f t="shared" si="1"/>
        <v>4.4444444444444446E-2</v>
      </c>
      <c r="L11" s="10">
        <f t="shared" si="2"/>
        <v>10</v>
      </c>
    </row>
    <row r="12" spans="1:12" x14ac:dyDescent="0.3">
      <c r="A12" s="4" t="s">
        <v>36</v>
      </c>
      <c r="B12" s="3" t="s">
        <v>37</v>
      </c>
      <c r="C12" s="3" t="s">
        <v>25</v>
      </c>
      <c r="D12" s="14">
        <v>310000</v>
      </c>
      <c r="E12" s="14">
        <v>305000</v>
      </c>
      <c r="F12" s="3">
        <v>140</v>
      </c>
      <c r="G12" s="3">
        <v>138</v>
      </c>
      <c r="H12" s="3">
        <v>1</v>
      </c>
      <c r="I12" s="3" t="s">
        <v>15</v>
      </c>
      <c r="J12" s="18">
        <f t="shared" si="0"/>
        <v>-5000</v>
      </c>
      <c r="K12" s="8">
        <f t="shared" si="1"/>
        <v>-1.6129032258064516E-2</v>
      </c>
      <c r="L12" s="10">
        <f t="shared" si="2"/>
        <v>-2</v>
      </c>
    </row>
    <row r="13" spans="1:12" x14ac:dyDescent="0.3">
      <c r="A13" s="4" t="s">
        <v>38</v>
      </c>
      <c r="B13" s="3" t="s">
        <v>39</v>
      </c>
      <c r="C13" s="3" t="s">
        <v>14</v>
      </c>
      <c r="D13" s="14">
        <v>680000</v>
      </c>
      <c r="E13" s="14">
        <v>750000</v>
      </c>
      <c r="F13" s="3">
        <v>230</v>
      </c>
      <c r="G13" s="3">
        <v>255</v>
      </c>
      <c r="H13" s="3">
        <v>5</v>
      </c>
      <c r="I13" s="3" t="s">
        <v>11</v>
      </c>
      <c r="J13" s="18">
        <f>E13-D13</f>
        <v>70000</v>
      </c>
      <c r="K13" s="8">
        <f t="shared" si="1"/>
        <v>0.10294117647058823</v>
      </c>
      <c r="L13" s="10">
        <f t="shared" si="2"/>
        <v>25</v>
      </c>
    </row>
    <row r="14" spans="1:12" x14ac:dyDescent="0.3">
      <c r="A14" s="4" t="s">
        <v>40</v>
      </c>
      <c r="B14" s="3" t="s">
        <v>41</v>
      </c>
      <c r="C14" s="3" t="s">
        <v>10</v>
      </c>
      <c r="D14" s="14">
        <v>870000</v>
      </c>
      <c r="E14" s="14">
        <v>910000</v>
      </c>
      <c r="F14" s="3">
        <v>270</v>
      </c>
      <c r="G14" s="3">
        <v>285</v>
      </c>
      <c r="H14" s="3">
        <v>4</v>
      </c>
      <c r="I14" s="3" t="s">
        <v>22</v>
      </c>
      <c r="J14" s="18">
        <f t="shared" si="0"/>
        <v>40000</v>
      </c>
      <c r="K14" s="8">
        <f t="shared" si="1"/>
        <v>4.5977011494252873E-2</v>
      </c>
      <c r="L14" s="10">
        <f t="shared" si="2"/>
        <v>15</v>
      </c>
    </row>
    <row r="15" spans="1:12" x14ac:dyDescent="0.3">
      <c r="A15" s="4" t="s">
        <v>42</v>
      </c>
      <c r="B15" s="3" t="s">
        <v>43</v>
      </c>
      <c r="C15" s="3" t="s">
        <v>18</v>
      </c>
      <c r="D15" s="14">
        <v>540000</v>
      </c>
      <c r="E15" s="14">
        <v>530000</v>
      </c>
      <c r="F15" s="3">
        <v>190</v>
      </c>
      <c r="G15" s="3">
        <v>188</v>
      </c>
      <c r="H15" s="3">
        <v>2</v>
      </c>
      <c r="I15" s="3" t="s">
        <v>15</v>
      </c>
      <c r="J15" s="18">
        <f t="shared" si="0"/>
        <v>-10000</v>
      </c>
      <c r="K15" s="8">
        <f t="shared" si="1"/>
        <v>-1.8518518518518517E-2</v>
      </c>
      <c r="L15" s="10">
        <f t="shared" si="2"/>
        <v>-2</v>
      </c>
    </row>
    <row r="16" spans="1:12" x14ac:dyDescent="0.3">
      <c r="A16" s="4" t="s">
        <v>44</v>
      </c>
      <c r="B16" s="3" t="s">
        <v>45</v>
      </c>
      <c r="C16" s="3" t="s">
        <v>21</v>
      </c>
      <c r="D16" s="14">
        <v>610000</v>
      </c>
      <c r="E16" s="14">
        <v>650000</v>
      </c>
      <c r="F16" s="3">
        <v>200</v>
      </c>
      <c r="G16" s="3">
        <v>215</v>
      </c>
      <c r="H16" s="3">
        <v>4</v>
      </c>
      <c r="I16" s="3" t="s">
        <v>22</v>
      </c>
      <c r="J16" s="18">
        <f t="shared" si="0"/>
        <v>40000</v>
      </c>
      <c r="K16" s="8">
        <f t="shared" si="1"/>
        <v>6.5573770491803282E-2</v>
      </c>
      <c r="L16" s="10">
        <f t="shared" si="2"/>
        <v>15</v>
      </c>
    </row>
    <row r="17" spans="1:12" x14ac:dyDescent="0.3">
      <c r="A17" s="4" t="s">
        <v>46</v>
      </c>
      <c r="B17" s="3" t="s">
        <v>47</v>
      </c>
      <c r="C17" s="3" t="s">
        <v>10</v>
      </c>
      <c r="D17" s="14">
        <v>760000</v>
      </c>
      <c r="E17" s="14">
        <v>850000</v>
      </c>
      <c r="F17" s="3">
        <v>250</v>
      </c>
      <c r="G17" s="3">
        <v>280</v>
      </c>
      <c r="H17" s="3">
        <v>6</v>
      </c>
      <c r="I17" s="3" t="s">
        <v>11</v>
      </c>
      <c r="J17" s="18">
        <f t="shared" si="0"/>
        <v>90000</v>
      </c>
      <c r="K17" s="8">
        <f t="shared" si="1"/>
        <v>0.11842105263157894</v>
      </c>
      <c r="L17" s="10">
        <f t="shared" si="2"/>
        <v>30</v>
      </c>
    </row>
    <row r="18" spans="1:12" x14ac:dyDescent="0.3">
      <c r="A18" s="4" t="s">
        <v>48</v>
      </c>
      <c r="B18" s="3" t="s">
        <v>49</v>
      </c>
      <c r="C18" s="3" t="s">
        <v>14</v>
      </c>
      <c r="D18" s="14">
        <v>490000</v>
      </c>
      <c r="E18" s="14">
        <v>500000</v>
      </c>
      <c r="F18" s="3">
        <v>175</v>
      </c>
      <c r="G18" s="3">
        <v>180</v>
      </c>
      <c r="H18" s="3">
        <v>2</v>
      </c>
      <c r="I18" s="3" t="s">
        <v>22</v>
      </c>
      <c r="J18" s="18">
        <f t="shared" si="0"/>
        <v>10000</v>
      </c>
      <c r="K18" s="8">
        <f t="shared" si="1"/>
        <v>2.0408163265306121E-2</v>
      </c>
      <c r="L18" s="10">
        <f t="shared" si="2"/>
        <v>5</v>
      </c>
    </row>
    <row r="19" spans="1:12" x14ac:dyDescent="0.3">
      <c r="A19" s="4" t="s">
        <v>50</v>
      </c>
      <c r="B19" s="3" t="s">
        <v>51</v>
      </c>
      <c r="C19" s="3" t="s">
        <v>25</v>
      </c>
      <c r="D19" s="14">
        <v>400000</v>
      </c>
      <c r="E19" s="14">
        <v>390000</v>
      </c>
      <c r="F19" s="3">
        <v>165</v>
      </c>
      <c r="G19" s="3">
        <v>160</v>
      </c>
      <c r="H19" s="3">
        <v>1</v>
      </c>
      <c r="I19" s="3" t="s">
        <v>15</v>
      </c>
      <c r="J19" s="18">
        <f t="shared" si="0"/>
        <v>-10000</v>
      </c>
      <c r="K19" s="8">
        <f t="shared" si="1"/>
        <v>-2.5000000000000001E-2</v>
      </c>
      <c r="L19" s="10">
        <f t="shared" si="2"/>
        <v>-5</v>
      </c>
    </row>
    <row r="20" spans="1:12" x14ac:dyDescent="0.3">
      <c r="A20" s="4" t="s">
        <v>52</v>
      </c>
      <c r="B20" s="3" t="s">
        <v>53</v>
      </c>
      <c r="C20" s="3" t="s">
        <v>18</v>
      </c>
      <c r="D20" s="14">
        <v>700000</v>
      </c>
      <c r="E20" s="14">
        <v>760000</v>
      </c>
      <c r="F20" s="3">
        <v>225</v>
      </c>
      <c r="G20" s="3">
        <v>245</v>
      </c>
      <c r="H20" s="3">
        <v>5</v>
      </c>
      <c r="I20" s="3" t="s">
        <v>11</v>
      </c>
      <c r="J20" s="18">
        <f t="shared" si="0"/>
        <v>60000</v>
      </c>
      <c r="K20" s="8">
        <f t="shared" si="1"/>
        <v>8.5714285714285715E-2</v>
      </c>
      <c r="L20" s="10">
        <f t="shared" si="2"/>
        <v>20</v>
      </c>
    </row>
    <row r="21" spans="1:12" x14ac:dyDescent="0.3">
      <c r="A21" s="5" t="s">
        <v>54</v>
      </c>
      <c r="B21" s="6" t="s">
        <v>55</v>
      </c>
      <c r="C21" s="6" t="s">
        <v>10</v>
      </c>
      <c r="D21" s="15">
        <v>580000</v>
      </c>
      <c r="E21" s="15">
        <v>600000</v>
      </c>
      <c r="F21" s="6">
        <v>195</v>
      </c>
      <c r="G21" s="6">
        <v>202</v>
      </c>
      <c r="H21" s="6">
        <v>3</v>
      </c>
      <c r="I21" s="6" t="s">
        <v>22</v>
      </c>
      <c r="J21" s="19">
        <f t="shared" si="0"/>
        <v>20000</v>
      </c>
      <c r="K21" s="11">
        <f t="shared" si="1"/>
        <v>3.4482758620689655E-2</v>
      </c>
      <c r="L21" s="12">
        <f t="shared" si="2"/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Md Nahid Hasan</cp:lastModifiedBy>
  <dcterms:created xsi:type="dcterms:W3CDTF">2015-06-05T18:19:34Z</dcterms:created>
  <dcterms:modified xsi:type="dcterms:W3CDTF">2026-09-09T19:24:14Z</dcterms:modified>
</cp:coreProperties>
</file>